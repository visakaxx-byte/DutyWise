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发票装箱单" sheetId="1" r:id="rId1"/>
  </sheets>
  <definedNames>
    <definedName name="_xlnm._FilterDatabase" localSheetId="0" hidden="1">发票装箱单!$A$6:$O$17</definedName>
    <definedName name="阿尔巴尼亚">#REF!</definedName>
    <definedName name="阿尔及利亚">#REF!</definedName>
    <definedName name="阿富汗">#REF!</definedName>
    <definedName name="阿根廷">#REF!</definedName>
    <definedName name="阿联酋">#REF!</definedName>
    <definedName name="阿鲁巴">#REF!</definedName>
    <definedName name="阿曼">#REF!</definedName>
    <definedName name="阿塞拜疆">#REF!</definedName>
    <definedName name="埃及">#REF!</definedName>
    <definedName name="埃塞俄比亚">#REF!</definedName>
    <definedName name="爱尔兰">#REF!</definedName>
    <definedName name="爱沙尼亚">#REF!</definedName>
    <definedName name="安道尔">#REF!</definedName>
    <definedName name="安哥拉">#REF!</definedName>
    <definedName name="安圭拉">#REF!</definedName>
    <definedName name="安提瓜和巴布达">#REF!</definedName>
    <definedName name="奥地利">#REF!</definedName>
    <definedName name="澳大利亚">#REF!</definedName>
    <definedName name="巴巴多斯">#REF!</definedName>
    <definedName name="巴布亚新几内亚">#REF!</definedName>
    <definedName name="巴哈马">#REF!</definedName>
    <definedName name="巴基斯坦">#REF!</definedName>
    <definedName name="巴拉圭">#REF!</definedName>
    <definedName name="巴勒斯坦">#REF!</definedName>
    <definedName name="巴林">#REF!</definedName>
    <definedName name="巴拿马">#REF!</definedName>
    <definedName name="巴西">#REF!</definedName>
    <definedName name="白俄罗斯">#REF!</definedName>
    <definedName name="百慕大">#REF!</definedName>
    <definedName name="保加利亚">#REF!</definedName>
    <definedName name="北马里亚纳自由联邦">#REF!</definedName>
    <definedName name="北马其顿共和国">#REF!</definedName>
    <definedName name="贝宁">#REF!</definedName>
    <definedName name="比利时">#REF!</definedName>
    <definedName name="冰岛">#REF!</definedName>
    <definedName name="波多黎各">#REF!</definedName>
    <definedName name="波兰">#REF!</definedName>
    <definedName name="波斯尼亚和黑塞哥维那">#REF!</definedName>
    <definedName name="玻利维亚">#REF!</definedName>
    <definedName name="伯利兹">#REF!</definedName>
    <definedName name="博茨瓦纳">#REF!</definedName>
    <definedName name="博内尔岛、圣尤斯特歇斯岛和萨巴岛">#REF!</definedName>
    <definedName name="不丹">#REF!</definedName>
    <definedName name="布基纳法索">#REF!</definedName>
    <definedName name="布隆迪">#REF!</definedName>
    <definedName name="朝鲜">#REF!</definedName>
    <definedName name="赤道几内亚">#REF!</definedName>
    <definedName name="丹麦">#REF!</definedName>
    <definedName name="德国">#REF!</definedName>
    <definedName name="东帝汶">#REF!</definedName>
    <definedName name="多哥">#REF!</definedName>
    <definedName name="多米尼加">#REF!</definedName>
    <definedName name="多米尼克">#REF!</definedName>
    <definedName name="俄罗斯联邦">#REF!</definedName>
    <definedName name="厄瓜多尔">#REF!</definedName>
    <definedName name="厄立特里亚">#REF!</definedName>
    <definedName name="法国">#REF!</definedName>
    <definedName name="法罗群岛">#REF!</definedName>
    <definedName name="法属波利尼西亚">#REF!</definedName>
    <definedName name="法属圭亚那">#REF!</definedName>
    <definedName name="法属南部领地">#REF!</definedName>
    <definedName name="梵蒂冈">#REF!</definedName>
    <definedName name="菲律宾">#REF!</definedName>
    <definedName name="斐济">#REF!</definedName>
    <definedName name="芬兰">#REF!</definedName>
    <definedName name="佛得角">#REF!</definedName>
    <definedName name="冈比亚">#REF!</definedName>
    <definedName name="刚果_布">#REF!</definedName>
    <definedName name="刚果_金">#REF!</definedName>
    <definedName name="哥伦比亚">#REF!</definedName>
    <definedName name="哥斯达黎加">#REF!</definedName>
    <definedName name="格林纳达">#REF!</definedName>
    <definedName name="格陵兰">#REF!</definedName>
    <definedName name="格鲁吉亚">#REF!</definedName>
    <definedName name="根西岛">#REF!</definedName>
    <definedName name="古巴">#REF!</definedName>
    <definedName name="瓜德罗普">#REF!</definedName>
    <definedName name="关岛">#REF!</definedName>
    <definedName name="圭亚那">#REF!</definedName>
    <definedName name="哈萨克斯坦">#REF!</definedName>
    <definedName name="海地">#REF!</definedName>
    <definedName name="韩国">#REF!</definedName>
    <definedName name="荷兰">#REF!</definedName>
    <definedName name="荷属圣马丁岛">#REF!</definedName>
    <definedName name="赫德岛和麦克唐纳岛">#REF!</definedName>
    <definedName name="黑山共和国">#REF!</definedName>
    <definedName name="洪都拉斯">#REF!</definedName>
    <definedName name="基里巴斯">#REF!</definedName>
    <definedName name="吉布提">#REF!</definedName>
    <definedName name="吉尔吉斯斯坦">#REF!</definedName>
    <definedName name="几内亚">#REF!</definedName>
    <definedName name="几内亚比绍">#REF!</definedName>
    <definedName name="加拿大">#REF!</definedName>
    <definedName name="加那利群岛">#REF!</definedName>
    <definedName name="加纳">#REF!</definedName>
    <definedName name="加蓬">#REF!</definedName>
    <definedName name="柬埔寨">#REF!</definedName>
    <definedName name="捷克">#REF!</definedName>
    <definedName name="津巴布韦">#REF!</definedName>
    <definedName name="喀麦隆">#REF!</definedName>
    <definedName name="卡塔尔">#REF!</definedName>
    <definedName name="开曼群岛">#REF!</definedName>
    <definedName name="科科斯_基林_群岛">#REF!</definedName>
    <definedName name="科摩罗">#REF!</definedName>
    <definedName name="科特迪瓦">#REF!</definedName>
    <definedName name="科威特">#REF!</definedName>
    <definedName name="克罗地亚">#REF!</definedName>
    <definedName name="肯尼亚">#REF!</definedName>
    <definedName name="库克群岛">#REF!</definedName>
    <definedName name="拉脱维亚">#REF!</definedName>
    <definedName name="莱索托">#REF!</definedName>
    <definedName name="老挝">#REF!</definedName>
    <definedName name="黎巴嫩">#REF!</definedName>
    <definedName name="立陶宛">#REF!</definedName>
    <definedName name="利比里亚">#REF!</definedName>
    <definedName name="利比亚">#REF!</definedName>
    <definedName name="列支敦士登">#REF!</definedName>
    <definedName name="留尼汪">#REF!</definedName>
    <definedName name="卢森堡">#REF!</definedName>
    <definedName name="卢旺达">#REF!</definedName>
    <definedName name="罗马尼亚">#REF!</definedName>
    <definedName name="马达加斯加">#REF!</definedName>
    <definedName name="马恩岛">#REF!</definedName>
    <definedName name="马尔代夫">#REF!</definedName>
    <definedName name="马耳他">#REF!</definedName>
    <definedName name="马拉维">#REF!</definedName>
    <definedName name="马来西亚">#REF!</definedName>
    <definedName name="马里">#REF!</definedName>
    <definedName name="马绍尔群岛">#REF!</definedName>
    <definedName name="马提尼克">#REF!</definedName>
    <definedName name="马约特">#REF!</definedName>
    <definedName name="毛里求斯">#REF!</definedName>
    <definedName name="毛里塔尼亚">#REF!</definedName>
    <definedName name="美国">#REF!</definedName>
    <definedName name="美国本土外小岛屿">#REF!</definedName>
    <definedName name="美属萨摩亚">#REF!</definedName>
    <definedName name="美属维尔京群岛">#REF!</definedName>
    <definedName name="蒙古">#REF!</definedName>
    <definedName name="蒙特塞拉特">#REF!</definedName>
    <definedName name="孟加拉">#REF!</definedName>
    <definedName name="秘鲁">#REF!</definedName>
    <definedName name="密克罗尼西亚_联邦">#REF!</definedName>
    <definedName name="缅甸">#REF!</definedName>
    <definedName name="摩尔多瓦">#REF!</definedName>
    <definedName name="摩洛哥">#REF!</definedName>
    <definedName name="摩纳哥">#REF!</definedName>
    <definedName name="莫桑比克">#REF!</definedName>
    <definedName name="墨西哥">#REF!</definedName>
    <definedName name="目的国">#REF!</definedName>
    <definedName name="纳米比亚">#REF!</definedName>
    <definedName name="南非">#REF!</definedName>
    <definedName name="南极洲">#REF!</definedName>
    <definedName name="南乔治亚岛和南桑德韦奇岛">#REF!</definedName>
    <definedName name="南苏丹">#REF!</definedName>
    <definedName name="瑙鲁">#REF!</definedName>
    <definedName name="尼泊尔">#REF!</definedName>
    <definedName name="尼加拉瓜">#REF!</definedName>
    <definedName name="尼日尔">#REF!</definedName>
    <definedName name="尼日利亚">#REF!</definedName>
    <definedName name="纽埃">#REF!</definedName>
    <definedName name="挪威">#REF!</definedName>
    <definedName name="诺福克岛">#REF!</definedName>
    <definedName name="帕劳">#REF!</definedName>
    <definedName name="皮特凯恩">#REF!</definedName>
    <definedName name="葡萄牙">#REF!</definedName>
    <definedName name="日本">#REF!</definedName>
    <definedName name="瑞典">#REF!</definedName>
    <definedName name="瑞士">#REF!</definedName>
    <definedName name="萨尔瓦多">#REF!</definedName>
    <definedName name="萨摩亚">#REF!</definedName>
    <definedName name="塞尔维亚共和国">#REF!</definedName>
    <definedName name="塞拉利昂">#REF!</definedName>
    <definedName name="塞内加尔">#REF!</definedName>
    <definedName name="塞浦路斯">#REF!</definedName>
    <definedName name="塞舌尔">#REF!</definedName>
    <definedName name="沙特阿拉伯">#REF!</definedName>
    <definedName name="圣诞岛">#REF!</definedName>
    <definedName name="圣多美和普林西比">#REF!</definedName>
    <definedName name="圣赫勒拿">#REF!</definedName>
    <definedName name="圣基茨和尼维斯">#REF!</definedName>
    <definedName name="圣卢西亚">#REF!</definedName>
    <definedName name="圣马丁_法国">#REF!</definedName>
    <definedName name="圣马力诺">#REF!</definedName>
    <definedName name="圣皮埃尔和密克隆">#REF!</definedName>
    <definedName name="圣文森特和格林纳丁斯">#REF!</definedName>
    <definedName name="斯里兰卡">#REF!</definedName>
    <definedName name="斯洛伐克">#REF!</definedName>
    <definedName name="斯洛文尼亚">#REF!</definedName>
    <definedName name="斯瓦尔巴岛和扬马延岛">#REF!</definedName>
    <definedName name="斯威士兰">#REF!</definedName>
    <definedName name="苏丹">#REF!</definedName>
    <definedName name="苏里南">#REF!</definedName>
    <definedName name="所罗门群岛">#REF!</definedName>
    <definedName name="索马里">#REF!</definedName>
    <definedName name="塔吉克斯坦">#REF!</definedName>
    <definedName name="泰国">#REF!</definedName>
    <definedName name="坦桑尼亚">#REF!</definedName>
    <definedName name="汤加">#REF!</definedName>
    <definedName name="特克斯和凯科斯群岛">#REF!</definedName>
    <definedName name="特立尼达和多巴哥">#REF!</definedName>
    <definedName name="突尼斯">#REF!</definedName>
    <definedName name="图瓦卢">#REF!</definedName>
    <definedName name="土耳其">#REF!</definedName>
    <definedName name="土库曼斯坦">#REF!</definedName>
    <definedName name="托克劳">#REF!</definedName>
    <definedName name="瓦努阿图">#REF!</definedName>
    <definedName name="危地马拉">#REF!</definedName>
    <definedName name="委内瑞拉">#REF!</definedName>
    <definedName name="文莱">#REF!</definedName>
    <definedName name="乌干达">#REF!</definedName>
    <definedName name="乌克兰">#REF!</definedName>
    <definedName name="乌拉圭">#REF!</definedName>
    <definedName name="乌兹别克斯坦">#REF!</definedName>
    <definedName name="西班牙">#REF!</definedName>
    <definedName name="西撒哈拉">#REF!</definedName>
    <definedName name="希腊">#REF!</definedName>
    <definedName name="新加坡">#REF!</definedName>
    <definedName name="新喀里多尼亚">#REF!</definedName>
    <definedName name="新西兰">#REF!</definedName>
    <definedName name="匈牙利">#REF!</definedName>
    <definedName name="叙利亚">#REF!</definedName>
    <definedName name="牙买加">#REF!</definedName>
    <definedName name="亚美尼亚">#REF!</definedName>
    <definedName name="也门">#REF!</definedName>
    <definedName name="伊拉克">#REF!</definedName>
    <definedName name="伊朗">#REF!</definedName>
    <definedName name="以色列">#REF!</definedName>
    <definedName name="意大利">#REF!</definedName>
    <definedName name="印度">#REF!</definedName>
    <definedName name="印度尼西亚">#REF!</definedName>
    <definedName name="英国">#REF!</definedName>
    <definedName name="英属维尔京群岛">#REF!</definedName>
    <definedName name="英属印度洋领地">#REF!</definedName>
    <definedName name="约旦">#REF!</definedName>
    <definedName name="越南">#REF!</definedName>
    <definedName name="赞比亚">#REF!</definedName>
    <definedName name="泽西岛">#REF!</definedName>
    <definedName name="乍得">#REF!</definedName>
    <definedName name="直布罗陀">#REF!</definedName>
    <definedName name="智利">#REF!</definedName>
    <definedName name="中非">#REF!</definedName>
    <definedName name="中国">#REF!</definedName>
    <definedName name="中国澳门">#REF!</definedName>
    <definedName name="中国台湾">#REF!</definedName>
    <definedName name="中国香港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<sst xmlns="http://schemas.openxmlformats.org/spreadsheetml/2006/main" count="93" uniqueCount="57">
  <si>
    <t>Commercial Invoice&amp;Packing List</t>
  </si>
  <si>
    <t>SHIPPER</t>
  </si>
  <si>
    <t>CHONGQING HENGGUJIAN SUPPLY CHAIN
MANAGEMENT CO., LTD. NO. 35-0165, ANNEX TO NO. 9 WENCHENG ROAD, FENGWEN SUB-DISTRICT, SHAPINGBA DISTRICT, CHONGQING</t>
  </si>
  <si>
    <t>CONSIGNEE</t>
  </si>
  <si>
    <t>BAYONNE TRADE INC
286 MADISON AVE STE 907 NEW YORK, NY 10017
EMAIL:BROKER@9QUTECH.COM</t>
  </si>
  <si>
    <t xml:space="preserve">             </t>
  </si>
  <si>
    <t xml:space="preserve">  B/L :HDUJGLA26MC32436 </t>
  </si>
  <si>
    <t>中文品名 
Chinese Description</t>
  </si>
  <si>
    <t>英文品名
Description</t>
  </si>
  <si>
    <t>商品编码
HTS Code</t>
  </si>
  <si>
    <t>材质
Material</t>
  </si>
  <si>
    <t>用途</t>
  </si>
  <si>
    <t>箱数/托数
CTNS</t>
  </si>
  <si>
    <t>数量 
QTY</t>
  </si>
  <si>
    <t>单位
UNIT</t>
  </si>
  <si>
    <t>币制
Currency</t>
  </si>
  <si>
    <t>单价
Unit Value</t>
  </si>
  <si>
    <t>总价
Subtotal</t>
  </si>
  <si>
    <t>净重
N/W(kg)</t>
  </si>
  <si>
    <t>毛重
G/W(kg)</t>
  </si>
  <si>
    <t>总体积
Measurement(cm)</t>
  </si>
  <si>
    <t>原产国
Country of Origin</t>
  </si>
  <si>
    <t>塑料贴纸</t>
  </si>
  <si>
    <t>PLASTIC Stickers</t>
  </si>
  <si>
    <t>Plastic</t>
  </si>
  <si>
    <t>decoration</t>
  </si>
  <si>
    <t xml:space="preserve">pcs </t>
  </si>
  <si>
    <t>USD</t>
  </si>
  <si>
    <t>CN</t>
  </si>
  <si>
    <t>置物架</t>
  </si>
  <si>
    <t>Storage rack</t>
  </si>
  <si>
    <t>plastic</t>
  </si>
  <si>
    <t>Home</t>
  </si>
  <si>
    <t>日历</t>
  </si>
  <si>
    <t>calendar</t>
  </si>
  <si>
    <t>键盘</t>
  </si>
  <si>
    <t>keyboard</t>
  </si>
  <si>
    <t>home</t>
  </si>
  <si>
    <t>毛巾</t>
  </si>
  <si>
    <t>towel</t>
  </si>
  <si>
    <t>flax</t>
  </si>
  <si>
    <t>LED灯</t>
  </si>
  <si>
    <t>LED light</t>
  </si>
  <si>
    <t>lighting</t>
  </si>
  <si>
    <t>花架</t>
  </si>
  <si>
    <t>Flower stands</t>
  </si>
  <si>
    <t>Iron</t>
  </si>
  <si>
    <t>派对套装</t>
  </si>
  <si>
    <t>party pack</t>
  </si>
  <si>
    <t>Decoration</t>
  </si>
  <si>
    <t>扇子</t>
  </si>
  <si>
    <t>Folding fan</t>
  </si>
  <si>
    <t>PVC袋</t>
  </si>
  <si>
    <t>Electronic scale</t>
  </si>
  <si>
    <t>PVC</t>
  </si>
  <si>
    <t>Office</t>
  </si>
  <si>
    <t>总数据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</si>
</sst>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EUR]\ #,##0.00_);[Red]\([$EUR]\ #,##0.00\)"/>
    <numFmt numFmtId="177" formatCode="#,##0.00_);[Red]\(#,##0.00\)"/>
    <numFmt numFmtId="178" formatCode="0.00_ "/>
  </numFmts>
  <fonts count="33">
    <font>
      <sz val="10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b/>
      <sz val="9"/>
      <color indexed="8"/>
      <name val="微软雅黑"/>
      <charset val="134"/>
    </font>
    <font>
      <b/>
      <sz val="9"/>
      <color rgb="FF000000"/>
      <name val="微软雅黑"/>
      <charset val="134"/>
    </font>
    <font>
      <b/>
      <sz val="16"/>
      <color rgb="FFFF0000"/>
      <name val="微软雅黑"/>
      <charset val="134"/>
    </font>
    <font>
      <sz val="14"/>
      <name val="微软雅黑"/>
      <charset val="134"/>
    </font>
    <font>
      <sz val="12"/>
      <name val="微软雅黑"/>
      <charset val="134"/>
    </font>
    <font>
      <sz val="9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  <xf numFmtId="0" fontId="32" fillId="0" borderId="0"/>
    <xf numFmtId="176" fontId="31" fillId="0" borderId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top" wrapText="1"/>
    </xf>
    <xf numFmtId="0" fontId="3" fillId="2" borderId="3" xfId="0" applyFont="1" applyFill="1" applyBorder="1" applyAlignment="1" applyProtection="1">
      <alignment horizontal="center" vertical="top" wrapText="1"/>
    </xf>
    <xf numFmtId="177" fontId="3" fillId="2" borderId="3" xfId="0" applyNumberFormat="1" applyFont="1" applyFill="1" applyBorder="1" applyAlignment="1" applyProtection="1">
      <alignment horizontal="center" vertical="top" wrapText="1"/>
    </xf>
    <xf numFmtId="0" fontId="3" fillId="2" borderId="2" xfId="0" applyFont="1" applyFill="1" applyBorder="1" applyAlignment="1" applyProtection="1">
      <alignment horizontal="center" vertical="top" wrapText="1"/>
    </xf>
    <xf numFmtId="0" fontId="3" fillId="2" borderId="4" xfId="0" applyFont="1" applyFill="1" applyBorder="1" applyAlignment="1" applyProtection="1">
      <alignment horizontal="left" vertical="center" wrapText="1"/>
    </xf>
    <xf numFmtId="0" fontId="3" fillId="2" borderId="5" xfId="0" applyFont="1" applyFill="1" applyBorder="1" applyAlignment="1" applyProtection="1">
      <alignment horizontal="center" vertical="top" wrapText="1"/>
    </xf>
    <xf numFmtId="0" fontId="3" fillId="2" borderId="6" xfId="0" applyFont="1" applyFill="1" applyBorder="1" applyAlignment="1" applyProtection="1">
      <alignment horizontal="center" vertical="top" wrapText="1"/>
    </xf>
    <xf numFmtId="177" fontId="3" fillId="2" borderId="6" xfId="0" applyNumberFormat="1" applyFont="1" applyFill="1" applyBorder="1" applyAlignment="1" applyProtection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right" vertical="top" wrapText="1"/>
    </xf>
    <xf numFmtId="0" fontId="5" fillId="2" borderId="9" xfId="0" applyFont="1" applyFill="1" applyBorder="1" applyAlignment="1">
      <alignment horizontal="right" vertical="top" wrapText="1"/>
    </xf>
    <xf numFmtId="177" fontId="5" fillId="2" borderId="9" xfId="0" applyNumberFormat="1" applyFont="1" applyFill="1" applyBorder="1" applyAlignment="1">
      <alignment horizontal="right" vertical="top" wrapText="1"/>
    </xf>
    <xf numFmtId="0" fontId="5" fillId="2" borderId="8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vertical="top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77" fontId="6" fillId="2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8" fontId="0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9" fillId="0" borderId="10" xfId="0" applyNumberFormat="1" applyFont="1" applyFill="1" applyBorder="1" applyAlignment="1">
      <alignment horizontal="center" vertical="center" wrapText="1"/>
    </xf>
    <xf numFmtId="0" fontId="10" fillId="0" borderId="10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77" fontId="0" fillId="2" borderId="0" xfId="0" applyNumberFormat="1" applyFont="1" applyFill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utoFormat-Optionen" xfId="49"/>
    <cellStyle name="Normal" xfId="50"/>
    <cellStyle name="普通 2" xfId="5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3</xdr:col>
          <xdr:colOff>0</xdr:colOff>
          <xdr:row>16</xdr:row>
          <xdr:rowOff>193040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4456430" y="5179060"/>
              <a:ext cx="2370455" cy="1930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zoomScale="89" zoomScaleNormal="89" workbookViewId="0">
      <selection activeCell="L18" sqref="L18"/>
    </sheetView>
  </sheetViews>
  <sheetFormatPr defaultColWidth="8.6640625" defaultRowHeight="15.2"/>
  <cols>
    <col min="1" max="1" width="25.6640625" style="4" customWidth="1"/>
    <col min="2" max="5" width="29.1640625" style="4" customWidth="1"/>
    <col min="6" max="6" width="13.8359375" style="4" customWidth="1"/>
    <col min="7" max="7" width="11.234375" style="4" customWidth="1"/>
    <col min="8" max="8" width="6.8359375" style="4" customWidth="1"/>
    <col min="9" max="9" width="11.8359375" style="4" customWidth="1"/>
    <col min="10" max="10" width="14" style="4" customWidth="1"/>
    <col min="11" max="11" width="11" style="4" customWidth="1"/>
    <col min="12" max="12" width="9.5" style="5" customWidth="1"/>
    <col min="13" max="13" width="11.5" style="4" customWidth="1"/>
    <col min="14" max="14" width="21" style="4" customWidth="1"/>
    <col min="15" max="15" width="14" style="4" customWidth="1"/>
    <col min="17" max="17" width="8.9765625" customWidth="1"/>
    <col min="18" max="19" width="8.6640625" style="6"/>
  </cols>
  <sheetData>
    <row r="1" ht="77" customHeight="1" spans="1:1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  <c r="M1" s="7"/>
      <c r="N1" s="7"/>
      <c r="O1" s="9"/>
    </row>
    <row r="2" ht="38" customHeight="1" spans="1:19">
      <c r="A2" s="10" t="s">
        <v>1</v>
      </c>
      <c r="B2" s="10"/>
      <c r="C2" s="11" t="s">
        <v>2</v>
      </c>
      <c r="D2" s="12"/>
      <c r="E2" s="12"/>
      <c r="F2" s="12"/>
      <c r="G2" s="12"/>
      <c r="H2" s="12"/>
      <c r="I2" s="12"/>
      <c r="J2" s="12"/>
      <c r="K2" s="12"/>
      <c r="L2" s="13"/>
      <c r="M2" s="12"/>
      <c r="N2" s="12"/>
      <c r="O2" s="9"/>
    </row>
    <row r="3" spans="1:19">
      <c r="A3" s="10" t="s">
        <v>3</v>
      </c>
      <c r="B3" s="10"/>
      <c r="C3" s="14" t="s">
        <v>4</v>
      </c>
      <c r="D3" s="12"/>
      <c r="E3" s="12"/>
      <c r="F3" s="12"/>
      <c r="G3" s="12"/>
      <c r="H3" s="12"/>
      <c r="I3" s="12"/>
      <c r="J3" s="12"/>
      <c r="K3" s="12"/>
      <c r="L3" s="13"/>
      <c r="M3" s="12"/>
      <c r="N3" s="12"/>
      <c r="O3" s="9"/>
    </row>
    <row r="4" ht="35" customHeight="1" spans="1:19">
      <c r="A4" s="15"/>
      <c r="B4" s="15"/>
      <c r="C4" s="16"/>
      <c r="D4" s="17"/>
      <c r="E4" s="17"/>
      <c r="F4" s="17"/>
      <c r="G4" s="17"/>
      <c r="H4" s="17"/>
      <c r="I4" s="17"/>
      <c r="J4" s="17"/>
      <c r="K4" s="17"/>
      <c r="L4" s="18"/>
      <c r="M4" s="17"/>
      <c r="N4" s="17"/>
      <c r="O4" s="9"/>
    </row>
    <row r="5" ht="32" customHeight="1" spans="1:19">
      <c r="A5" s="19" t="s">
        <v>5</v>
      </c>
      <c r="B5" s="20"/>
      <c r="C5" s="21" t="s">
        <v>6</v>
      </c>
      <c r="D5" s="22"/>
      <c r="E5" s="22"/>
      <c r="F5" s="22"/>
      <c r="G5" s="22"/>
      <c r="H5" s="22"/>
      <c r="I5" s="22"/>
      <c r="J5" s="22"/>
      <c r="K5" s="22"/>
      <c r="L5" s="23"/>
      <c r="M5" s="22"/>
      <c r="N5" s="24"/>
      <c r="O5" s="25"/>
    </row>
    <row r="6" s="1" customFormat="1" ht="58" customHeight="1" spans="1:19">
      <c r="A6" s="26" t="s">
        <v>7</v>
      </c>
      <c r="B6" s="26" t="s">
        <v>8</v>
      </c>
      <c r="C6" s="26" t="s">
        <v>9</v>
      </c>
      <c r="D6" s="26" t="s">
        <v>10</v>
      </c>
      <c r="E6" s="26" t="s">
        <v>11</v>
      </c>
      <c r="F6" s="26" t="s">
        <v>12</v>
      </c>
      <c r="G6" s="26" t="s">
        <v>13</v>
      </c>
      <c r="H6" s="27" t="s">
        <v>14</v>
      </c>
      <c r="I6" s="26" t="s">
        <v>15</v>
      </c>
      <c r="J6" s="26" t="s">
        <v>16</v>
      </c>
      <c r="K6" s="26" t="s">
        <v>17</v>
      </c>
      <c r="L6" s="28" t="s">
        <v>18</v>
      </c>
      <c r="M6" s="26" t="s">
        <v>19</v>
      </c>
      <c r="N6" s="26" t="s">
        <v>20</v>
      </c>
      <c r="O6" s="26" t="s">
        <v>21</v>
      </c>
      <c r="R6" s="29"/>
      <c r="S6" s="29"/>
    </row>
    <row r="7" s="2" customFormat="1" spans="1:19">
      <c r="A7" s="30" t="s">
        <v>22</v>
      </c>
      <c r="B7" s="30" t="s">
        <v>23</v>
      </c>
      <c r="C7" s="30">
        <v>3926400090</v>
      </c>
      <c r="D7" s="30" t="s">
        <v>24</v>
      </c>
      <c r="E7" s="30" t="s">
        <v>25</v>
      </c>
      <c r="F7" s="31">
        <v>86</v>
      </c>
      <c r="G7" s="31">
        <v>1548</v>
      </c>
      <c r="H7" s="31" t="s">
        <v>26</v>
      </c>
      <c r="I7" s="31" t="s">
        <v>27</v>
      </c>
      <c r="J7" s="31">
        <v>0.2</v>
      </c>
      <c r="K7" s="31">
        <v>309.6</v>
      </c>
      <c r="L7" s="31">
        <v>552.5</v>
      </c>
      <c r="M7" s="31">
        <v>650</v>
      </c>
      <c r="N7" s="32">
        <v>5.91</v>
      </c>
      <c r="O7" s="31" t="s">
        <v>28</v>
      </c>
      <c r="R7" s="3"/>
      <c r="S7" s="3"/>
    </row>
    <row r="8" s="2" customFormat="1" spans="1:19">
      <c r="A8" s="30" t="s">
        <v>29</v>
      </c>
      <c r="B8" s="30" t="s">
        <v>30</v>
      </c>
      <c r="C8" s="30">
        <v>3924104000</v>
      </c>
      <c r="D8" s="30" t="s">
        <v>31</v>
      </c>
      <c r="E8" s="30" t="s">
        <v>32</v>
      </c>
      <c r="F8" s="31">
        <v>98</v>
      </c>
      <c r="G8" s="31">
        <v>490</v>
      </c>
      <c r="H8" s="31" t="s">
        <v>26</v>
      </c>
      <c r="I8" s="31" t="s">
        <v>27</v>
      </c>
      <c r="J8" s="31">
        <v>1.5</v>
      </c>
      <c r="K8" s="31">
        <v>735</v>
      </c>
      <c r="L8" s="31">
        <v>2249.95</v>
      </c>
      <c r="M8" s="31">
        <v>2647</v>
      </c>
      <c r="N8" s="32">
        <v>6.74</v>
      </c>
      <c r="O8" s="31" t="s">
        <v>28</v>
      </c>
      <c r="R8" s="3"/>
      <c r="S8" s="3"/>
    </row>
    <row r="9" s="2" customFormat="1" spans="1:19">
      <c r="A9" s="30" t="s">
        <v>33</v>
      </c>
      <c r="B9" s="30" t="s">
        <v>34</v>
      </c>
      <c r="C9" s="30">
        <v>4910006000</v>
      </c>
      <c r="D9" s="30" t="s">
        <v>31</v>
      </c>
      <c r="E9" s="30" t="s">
        <v>32</v>
      </c>
      <c r="F9" s="31">
        <v>75</v>
      </c>
      <c r="G9" s="31">
        <v>675</v>
      </c>
      <c r="H9" s="31" t="s">
        <v>26</v>
      </c>
      <c r="I9" s="31" t="s">
        <v>27</v>
      </c>
      <c r="J9" s="31">
        <v>1</v>
      </c>
      <c r="K9" s="31">
        <v>675</v>
      </c>
      <c r="L9" s="31">
        <v>816</v>
      </c>
      <c r="M9" s="31">
        <v>960</v>
      </c>
      <c r="N9" s="32">
        <v>5.16</v>
      </c>
      <c r="O9" s="31" t="s">
        <v>28</v>
      </c>
      <c r="R9" s="3"/>
      <c r="S9" s="3"/>
    </row>
    <row r="10" s="2" customFormat="1" ht="14" customHeight="1" spans="1:19">
      <c r="A10" s="31" t="s">
        <v>35</v>
      </c>
      <c r="B10" s="31" t="s">
        <v>36</v>
      </c>
      <c r="C10" s="31">
        <v>8471602000</v>
      </c>
      <c r="D10" s="31" t="s">
        <v>31</v>
      </c>
      <c r="E10" s="31" t="s">
        <v>37</v>
      </c>
      <c r="F10" s="31">
        <v>125</v>
      </c>
      <c r="G10" s="31">
        <v>875</v>
      </c>
      <c r="H10" s="31" t="s">
        <v>26</v>
      </c>
      <c r="I10" s="31" t="s">
        <v>27</v>
      </c>
      <c r="J10" s="31">
        <v>1</v>
      </c>
      <c r="K10" s="31">
        <v>875</v>
      </c>
      <c r="L10" s="31">
        <v>1448.4</v>
      </c>
      <c r="M10" s="31">
        <v>1704</v>
      </c>
      <c r="N10" s="32">
        <v>8.6</v>
      </c>
      <c r="O10" s="31" t="s">
        <v>28</v>
      </c>
      <c r="R10" s="3"/>
      <c r="S10" s="3"/>
    </row>
    <row r="11" s="2" customFormat="1" spans="1:19">
      <c r="A11" s="30" t="s">
        <v>38</v>
      </c>
      <c r="B11" s="30" t="s">
        <v>39</v>
      </c>
      <c r="C11" s="30">
        <v>6302991510</v>
      </c>
      <c r="D11" s="30" t="s">
        <v>40</v>
      </c>
      <c r="E11" s="30" t="s">
        <v>32</v>
      </c>
      <c r="F11" s="31">
        <v>80</v>
      </c>
      <c r="G11" s="31">
        <v>800</v>
      </c>
      <c r="H11" s="31" t="s">
        <v>26</v>
      </c>
      <c r="I11" s="31" t="s">
        <v>27</v>
      </c>
      <c r="J11" s="31">
        <v>0.65</v>
      </c>
      <c r="K11" s="31">
        <v>520</v>
      </c>
      <c r="L11" s="31">
        <v>663</v>
      </c>
      <c r="M11" s="31">
        <v>780</v>
      </c>
      <c r="N11" s="32">
        <v>5.5</v>
      </c>
      <c r="O11" s="31" t="s">
        <v>28</v>
      </c>
      <c r="R11" s="3"/>
      <c r="S11" s="3"/>
    </row>
    <row r="12" s="2" customFormat="1" spans="1:19">
      <c r="A12" s="30" t="s">
        <v>41</v>
      </c>
      <c r="B12" s="30" t="s">
        <v>42</v>
      </c>
      <c r="C12" s="30">
        <v>8539520091</v>
      </c>
      <c r="D12" s="30" t="s">
        <v>31</v>
      </c>
      <c r="E12" s="30" t="s">
        <v>43</v>
      </c>
      <c r="F12" s="31">
        <v>112</v>
      </c>
      <c r="G12" s="31">
        <v>784</v>
      </c>
      <c r="H12" s="31" t="s">
        <v>26</v>
      </c>
      <c r="I12" s="31" t="s">
        <v>27</v>
      </c>
      <c r="J12" s="31">
        <v>1</v>
      </c>
      <c r="K12" s="31">
        <v>784</v>
      </c>
      <c r="L12" s="31">
        <v>2571.25</v>
      </c>
      <c r="M12" s="31">
        <v>3025</v>
      </c>
      <c r="N12" s="32">
        <v>7.7</v>
      </c>
      <c r="O12" s="31" t="s">
        <v>28</v>
      </c>
      <c r="R12" s="3"/>
      <c r="S12" s="3"/>
    </row>
    <row r="13" s="2" customFormat="1" spans="1:19">
      <c r="A13" s="33" t="s">
        <v>44</v>
      </c>
      <c r="B13" s="33" t="s">
        <v>45</v>
      </c>
      <c r="C13" s="33">
        <v>8306290000</v>
      </c>
      <c r="D13" s="30" t="s">
        <v>46</v>
      </c>
      <c r="E13" s="30" t="s">
        <v>25</v>
      </c>
      <c r="F13" s="31">
        <v>115</v>
      </c>
      <c r="G13" s="31">
        <v>575</v>
      </c>
      <c r="H13" s="31" t="s">
        <v>26</v>
      </c>
      <c r="I13" s="31" t="s">
        <v>27</v>
      </c>
      <c r="J13" s="31">
        <v>1.6</v>
      </c>
      <c r="K13" s="31">
        <v>920</v>
      </c>
      <c r="L13" s="31">
        <v>2985.2</v>
      </c>
      <c r="M13" s="31">
        <v>3512</v>
      </c>
      <c r="N13" s="32">
        <v>7.91</v>
      </c>
      <c r="O13" s="31" t="s">
        <v>28</v>
      </c>
      <c r="R13" s="3"/>
      <c r="S13" s="3"/>
    </row>
    <row r="14" s="2" customFormat="1" ht="17" spans="1:19">
      <c r="A14" s="34" t="s">
        <v>47</v>
      </c>
      <c r="B14" s="34" t="s">
        <v>48</v>
      </c>
      <c r="C14" s="35">
        <v>9505906000</v>
      </c>
      <c r="D14" s="31" t="s">
        <v>24</v>
      </c>
      <c r="E14" s="31" t="s">
        <v>49</v>
      </c>
      <c r="F14" s="31">
        <v>113</v>
      </c>
      <c r="G14" s="31">
        <v>1130</v>
      </c>
      <c r="H14" s="31" t="s">
        <v>26</v>
      </c>
      <c r="I14" s="31" t="s">
        <v>27</v>
      </c>
      <c r="J14" s="31">
        <v>0.75</v>
      </c>
      <c r="K14" s="31">
        <v>847.5</v>
      </c>
      <c r="L14" s="31">
        <v>731.7735</v>
      </c>
      <c r="M14" s="31">
        <v>860.91</v>
      </c>
      <c r="N14" s="32">
        <v>7.77</v>
      </c>
      <c r="O14" s="31" t="s">
        <v>28</v>
      </c>
      <c r="R14" s="3"/>
      <c r="S14" s="3"/>
    </row>
    <row r="15" s="2" customFormat="1" spans="1:19">
      <c r="A15" s="31" t="s">
        <v>50</v>
      </c>
      <c r="B15" s="31" t="s">
        <v>51</v>
      </c>
      <c r="C15" s="31">
        <v>3926400090</v>
      </c>
      <c r="D15" s="31" t="s">
        <v>24</v>
      </c>
      <c r="E15" s="30" t="s">
        <v>32</v>
      </c>
      <c r="F15" s="31">
        <v>86</v>
      </c>
      <c r="G15" s="31">
        <v>1290</v>
      </c>
      <c r="H15" s="31" t="s">
        <v>26</v>
      </c>
      <c r="I15" s="31" t="s">
        <v>27</v>
      </c>
      <c r="J15" s="31">
        <v>0.35</v>
      </c>
      <c r="K15" s="31">
        <v>451.5</v>
      </c>
      <c r="L15" s="31">
        <v>722.5</v>
      </c>
      <c r="M15" s="31">
        <v>850</v>
      </c>
      <c r="N15" s="32">
        <v>5.97</v>
      </c>
      <c r="O15" s="31" t="s">
        <v>28</v>
      </c>
      <c r="R15" s="3"/>
      <c r="S15" s="3"/>
    </row>
    <row r="16" s="2" customFormat="1" spans="1:19">
      <c r="A16" s="30" t="s">
        <v>52</v>
      </c>
      <c r="B16" s="30" t="s">
        <v>53</v>
      </c>
      <c r="C16" s="30">
        <v>3923210095</v>
      </c>
      <c r="D16" s="30" t="s">
        <v>54</v>
      </c>
      <c r="E16" s="30" t="s">
        <v>55</v>
      </c>
      <c r="F16" s="31">
        <v>98</v>
      </c>
      <c r="G16" s="31">
        <v>1960</v>
      </c>
      <c r="H16" s="31" t="s">
        <v>26</v>
      </c>
      <c r="I16" s="31" t="s">
        <v>27</v>
      </c>
      <c r="J16" s="31">
        <v>0.25</v>
      </c>
      <c r="K16" s="31">
        <v>490</v>
      </c>
      <c r="L16" s="31">
        <v>637.5</v>
      </c>
      <c r="M16" s="31">
        <v>750</v>
      </c>
      <c r="N16" s="32">
        <v>6.74</v>
      </c>
      <c r="O16" s="31" t="s">
        <v>28</v>
      </c>
      <c r="R16" s="3"/>
      <c r="S16" s="3"/>
    </row>
    <row r="17" s="3" customFormat="1" ht="18" spans="1:15">
      <c r="A17" s="36" t="s">
        <v>56</v>
      </c>
      <c r="B17" s="37"/>
      <c r="C17" s="37"/>
      <c r="D17" s="37"/>
      <c r="E17" s="37"/>
      <c r="F17" s="37">
        <v>988</v>
      </c>
      <c r="G17" s="37">
        <f>SUM(G7:G16)</f>
        <v>10127</v>
      </c>
      <c r="H17" s="37"/>
      <c r="I17" s="37"/>
      <c r="J17" s="37"/>
      <c r="K17" s="37">
        <v>6607.6</v>
      </c>
      <c r="L17" s="37">
        <f>SUM(L7:L16)</f>
        <v>13378.0735</v>
      </c>
      <c r="M17" s="37">
        <v>15738.91</v>
      </c>
      <c r="N17" s="37">
        <v>68</v>
      </c>
      <c r="O17" s="37"/>
    </row>
    <row r="18" spans="1:15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</row>
    <row r="19" spans="1:15">
      <c r="A19" s="9"/>
      <c r="B19" s="9"/>
      <c r="C19" s="9"/>
      <c r="D19" s="9"/>
      <c r="E19" s="9"/>
      <c r="F19" s="9"/>
      <c r="G19" s="9"/>
      <c r="J19" s="9"/>
      <c r="K19" s="9"/>
      <c r="L19" s="40"/>
      <c r="M19" s="9"/>
      <c r="N19" s="9"/>
      <c r="O19" s="9"/>
    </row>
    <row r="20" spans="1:15">
      <c r="A20" s="9"/>
      <c r="B20" s="9"/>
      <c r="C20" s="9"/>
      <c r="D20" s="9"/>
      <c r="E20" s="9"/>
      <c r="F20" s="9"/>
      <c r="G20" s="9"/>
      <c r="H20" s="9"/>
      <c r="I20" s="9"/>
      <c r="J20" s="9"/>
      <c r="K20" s="41"/>
      <c r="L20" s="42"/>
      <c r="M20" s="41"/>
      <c r="N20" s="9"/>
      <c r="O20" s="9"/>
    </row>
    <row r="21" spans="1:15">
      <c r="A21" s="9"/>
      <c r="B21" s="9"/>
      <c r="C21" s="9"/>
      <c r="D21" s="9"/>
      <c r="E21" s="9"/>
      <c r="F21" s="9"/>
      <c r="G21" s="9"/>
      <c r="H21" s="9"/>
      <c r="J21" s="9"/>
      <c r="K21" s="9"/>
      <c r="L21" s="40"/>
      <c r="M21" s="9"/>
      <c r="N21" s="9"/>
      <c r="O21" s="9"/>
    </row>
    <row r="22" spans="1:15">
      <c r="A22" s="9"/>
      <c r="B22" s="9"/>
      <c r="C22" s="9"/>
      <c r="D22" s="9"/>
      <c r="E22" s="9"/>
      <c r="H22" s="9"/>
      <c r="I22" s="9"/>
      <c r="J22" s="9"/>
      <c r="K22" s="9"/>
      <c r="L22" s="40"/>
      <c r="M22" s="9"/>
      <c r="N22" s="9"/>
      <c r="O22" s="9"/>
    </row>
    <row r="23" spans="1:15">
      <c r="A23" s="9"/>
      <c r="B23" s="9"/>
      <c r="C23" s="9"/>
      <c r="D23" s="9"/>
      <c r="H23" s="9"/>
      <c r="I23" s="9"/>
      <c r="J23" s="9"/>
      <c r="K23" s="9"/>
      <c r="L23" s="40"/>
      <c r="M23" s="9"/>
      <c r="N23" s="9"/>
      <c r="O23" s="9"/>
    </row>
    <row r="24" spans="1: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40"/>
      <c r="M24" s="9"/>
      <c r="N24" s="9"/>
      <c r="O24" s="9"/>
    </row>
    <row r="25" spans="1: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40"/>
      <c r="M25" s="9"/>
      <c r="N25" s="9"/>
      <c r="O25" s="9"/>
    </row>
    <row r="26" spans="1: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40"/>
      <c r="M26" s="9"/>
      <c r="N26" s="9"/>
      <c r="O26" s="9"/>
    </row>
    <row r="27" spans="1:15">
      <c r="F27" s="9"/>
    </row>
  </sheetData>
  <protectedRanges>
    <protectedRange sqref="A16" name="区域2_1_9"/>
    <protectedRange sqref="A12" name="区域2_1_9_2"/>
    <protectedRange sqref="B12" name="区域2_1_1_7_2_1"/>
    <protectedRange sqref="B14" name="区域2_1_1_7_4"/>
    <protectedRange sqref="B7" name="区域2_1_1_7_5"/>
  </protectedRanges>
  <autoFilter xmlns:etc="http://www.wps.cn/officeDocument/2017/etCustomData" ref="A6:O17" etc:filterBottomFollowUsedRange="0">
    <extLst/>
  </autoFilter>
  <mergeCells count="7">
    <mergeCell ref="A1:N1"/>
    <mergeCell ref="A2:B2"/>
    <mergeCell ref="C2:N2"/>
    <mergeCell ref="A5:B5"/>
    <mergeCell ref="C5:N5"/>
    <mergeCell ref="A3:B4"/>
    <mergeCell ref="C3:N4"/>
  </mergeCells>
  <dataValidations count="1">
    <dataValidation type="list" allowBlank="1" showInputMessage="1" showErrorMessage="1" sqref="I7:I17">
      <formula1>#REF!</formula1>
    </dataValidation>
  </dataValidations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2</xdr:col>
                <xdr:colOff>0</xdr:colOff>
                <xdr:row>16</xdr:row>
                <xdr:rowOff>0</xdr:rowOff>
              </from>
              <to>
                <xdr:col>3</xdr:col>
                <xdr:colOff>0</xdr:colOff>
                <xdr:row>16</xdr:row>
                <xdr:rowOff>193040</xdr:rowOff>
              </to>
            </anchor>
          </controlPr>
        </control>
      </mc:Choice>
      <mc:Fallback>
        <control shapeId="1025" r:id="rId3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_1_9" rangeCreator="" othersAccessPermission="edit"/>
    <arrUserId title="区域2_1_9_2" rangeCreator="" othersAccessPermission="edit"/>
    <arrUserId title="区域2_1_1_7_2_1" rangeCreator="" othersAccessPermission="edit"/>
    <arrUserId title="区域2_1_1_7_4" rangeCreator="" othersAccessPermission="edit"/>
    <arrUserId title="区域2_1_1_7_5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发票装箱单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GraceWangEURORA</dc:creator>
  <cp:lastModifiedBy>海洋生物牧童公主</cp:lastModifiedBy>
  <dcterms:created xsi:type="dcterms:W3CDTF">2022-09-20T10:13:00Z</dcterms:created>
  <dcterms:modified xsi:type="dcterms:W3CDTF">2026-04-28T23:52:25Z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96BB803F3CDD477785B6F7EB046523FE_13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