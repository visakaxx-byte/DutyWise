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<sst xmlns="http://schemas.openxmlformats.org/spreadsheetml/2006/main" count="112" uniqueCount="56">
  <si>
    <t>Commercial Invoice&amp;Packing List</t>
  </si>
  <si>
    <t>SHIPPER</t>
  </si>
  <si>
    <r>
      <t>CHONGQING HENGGUJIAN SUPPLY CHAIN MANAGEMENT CO.,LTD.
NO. 35-0165, ANNEX TO NO. 9 WENCHENG ROAD, FENGWEN SUB</t>
    </r>
    <r>
      <rPr>
        <b/>
        <sz val="9"/>
        <color rgb="FF000000"/>
        <rFont val="Arial"/>
        <charset val="134"/>
      </rPr>
      <t>_x0002_</t>
    </r>
    <r>
      <rPr>
        <b/>
        <sz val="9"/>
        <color rgb="FF000000"/>
        <rFont val="微软雅黑"/>
        <charset val="134"/>
      </rPr>
      <t>DISTRICT, SHAPINGBA DISTRICT, CHONGQING</t>
    </r>
  </si>
  <si>
    <t>CONSIGNEE</t>
  </si>
  <si>
    <t>BAYONNE TRADE INC
286 MADISON AVE STE 907 NEW YORK, NY 10017
EMAIL:BROKER@9QUTECH.COM</t>
  </si>
  <si>
    <t>ETA:2026/4/11</t>
  </si>
  <si>
    <t>B/L :SMLMNJPE5C277600</t>
  </si>
  <si>
    <t>中文品名 
Chinese Description</t>
  </si>
  <si>
    <t>英文品名
Description</t>
  </si>
  <si>
    <t>商品编码
HTS Code</t>
  </si>
  <si>
    <t>材质
Material</t>
  </si>
  <si>
    <t>用途</t>
  </si>
  <si>
    <t>箱数/托数
CTNS</t>
  </si>
  <si>
    <t>数量 
QTY</t>
  </si>
  <si>
    <t>单位
UNIT</t>
  </si>
  <si>
    <t>币制
Currency</t>
  </si>
  <si>
    <t>单价
Unit Value</t>
  </si>
  <si>
    <t>总价
Subtotal</t>
  </si>
  <si>
    <t>净重
N/W(kg)</t>
  </si>
  <si>
    <t>毛重
G/W(kg)</t>
  </si>
  <si>
    <t>原产国
Country of Origin</t>
  </si>
  <si>
    <t>充气泵</t>
  </si>
  <si>
    <t>Inflatable pump</t>
  </si>
  <si>
    <t>Plastic/Iron</t>
  </si>
  <si>
    <t>HOME</t>
  </si>
  <si>
    <t>PCS</t>
  </si>
  <si>
    <t>USD</t>
  </si>
  <si>
    <t>CN</t>
  </si>
  <si>
    <t>花园围栏</t>
  </si>
  <si>
    <t>Garden fence</t>
  </si>
  <si>
    <t>Plastic</t>
  </si>
  <si>
    <t>键盘</t>
  </si>
  <si>
    <t>Keyboard</t>
  </si>
  <si>
    <t>花园装饰</t>
  </si>
  <si>
    <t>Garden decoration</t>
  </si>
  <si>
    <t>Iron</t>
  </si>
  <si>
    <t>戒尺</t>
  </si>
  <si>
    <t>Ruler</t>
  </si>
  <si>
    <t>卡扣</t>
  </si>
  <si>
    <t>Buckle</t>
  </si>
  <si>
    <t>LED灯</t>
  </si>
  <si>
    <t>LED light</t>
  </si>
  <si>
    <t>Iron/Glass</t>
  </si>
  <si>
    <t>杯架</t>
  </si>
  <si>
    <t>Cup holder</t>
  </si>
  <si>
    <t>装饰雕塑</t>
  </si>
  <si>
    <t>Decorative sculpture</t>
  </si>
  <si>
    <t>花架</t>
  </si>
  <si>
    <t>Plant stand</t>
  </si>
  <si>
    <t>装饰灯</t>
  </si>
  <si>
    <t>Decorative light</t>
  </si>
  <si>
    <t>塑料花</t>
  </si>
  <si>
    <t>Plastic flowers</t>
  </si>
  <si>
    <t>卡片</t>
  </si>
  <si>
    <t>Card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</si>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</sst>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_);[Red]\(0.00\)"/>
    <numFmt numFmtId="178" formatCode="0.00_ "/>
  </numFmts>
  <fonts count="3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9"/>
      <color indexed="8"/>
      <name val="微软雅黑"/>
      <charset val="134"/>
    </font>
    <font>
      <b/>
      <sz val="9"/>
      <color rgb="FF000000"/>
      <name val="微软雅黑"/>
      <charset val="134"/>
    </font>
    <font>
      <b/>
      <sz val="16"/>
      <color rgb="FFFF0000"/>
      <name val="微软雅黑"/>
      <charset val="134"/>
    </font>
    <font>
      <sz val="10"/>
      <name val="微软雅黑"/>
      <charset val="134"/>
    </font>
    <font>
      <sz val="12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12"/>
      <name val="微软雅黑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9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0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19" fillId="0" borderId="0">
      <alignment vertical="center"/>
    </xf>
    <xf numFmtId="0" fontId="20" fillId="4" borderId="12">
      <alignment vertical="center"/>
    </xf>
    <xf numFmtId="0" fontId="21" fillId="5" borderId="13">
      <alignment vertical="center"/>
    </xf>
    <xf numFmtId="0" fontId="22" fillId="5" borderId="12">
      <alignment vertical="center"/>
    </xf>
    <xf numFmtId="0" fontId="23" fillId="6" borderId="14">
      <alignment vertical="center"/>
    </xf>
    <xf numFmtId="0" fontId="24" fillId="0" borderId="15">
      <alignment vertical="center"/>
    </xf>
    <xf numFmtId="0" fontId="25" fillId="0" borderId="16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31" fillId="0" borderId="0"/>
  </cellStyleXfs>
  <cellXfs count="2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wrapText="1"/>
    </xf>
    <xf numFmtId="176" fontId="5" fillId="2" borderId="5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177" fontId="10" fillId="0" borderId="7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 wrapText="1"/>
    </xf>
    <xf numFmtId="177" fontId="5" fillId="0" borderId="8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P9" sqref="P9"/>
    </sheetView>
  </sheetViews>
  <sheetFormatPr defaultColWidth="9" defaultRowHeight="13.5"/>
  <cols>
    <col min="1" max="1" width="18.125" customWidth="1"/>
    <col min="2" max="2" width="19.75" customWidth="1"/>
    <col min="3" max="3" width="13.125" customWidth="1"/>
    <col min="4" max="4" width="9.75" customWidth="1"/>
    <col min="13" max="14" width="12.625"/>
    <col min="15" max="15" width="13.5" customWidth="1"/>
    <col min="16" max="17" width="12.625"/>
  </cols>
  <sheetData>
    <row r="1" ht="2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customFormat="1" ht="74" customHeight="1" spans="1:15">
      <c r="A2" s="5" t="s">
        <v>1</v>
      </c>
      <c r="B2" s="5"/>
      <c r="C2" s="6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customFormat="1" ht="60" customHeight="1" spans="1:15">
      <c r="A3" s="5" t="s">
        <v>3</v>
      </c>
      <c r="B3" s="5"/>
      <c r="C3" s="9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customFormat="1" ht="22.5" spans="1:15">
      <c r="A4" s="10" t="s">
        <v>5</v>
      </c>
      <c r="B4" s="10"/>
      <c r="C4" s="10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1" ht="49.5" spans="1:15">
      <c r="A5" s="11" t="s">
        <v>7</v>
      </c>
      <c r="B5" s="11" t="s">
        <v>8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11" t="s">
        <v>14</v>
      </c>
      <c r="I5" s="11" t="s">
        <v>15</v>
      </c>
      <c r="J5" s="11" t="s">
        <v>16</v>
      </c>
      <c r="K5" s="11" t="s">
        <v>17</v>
      </c>
      <c r="L5" s="12" t="s">
        <v>18</v>
      </c>
      <c r="M5" s="11" t="s">
        <v>19</v>
      </c>
      <c r="N5" s="11" t="s">
        <v>20</v>
      </c>
    </row>
    <row r="6" ht="17.25" spans="1:15">
      <c r="A6" s="13" t="s">
        <v>21</v>
      </c>
      <c r="B6" s="14" t="s">
        <v>22</v>
      </c>
      <c r="C6" s="14">
        <v>8414904190</v>
      </c>
      <c r="D6" s="14" t="s">
        <v>23</v>
      </c>
      <c r="E6" s="15" t="s">
        <v>24</v>
      </c>
      <c r="F6" s="14">
        <v>80</v>
      </c>
      <c r="G6" s="16">
        <v>80</v>
      </c>
      <c r="H6" s="17" t="s">
        <v>25</v>
      </c>
      <c r="I6" s="18" t="s">
        <v>26</v>
      </c>
      <c r="J6" s="19">
        <v>3</v>
      </c>
      <c r="K6" s="15">
        <v>240</v>
      </c>
      <c r="L6" s="17">
        <f>M6-F6</f>
        <v>400</v>
      </c>
      <c r="M6" s="17">
        <v>480</v>
      </c>
      <c r="N6" s="17" t="s">
        <v>27</v>
      </c>
      <c r="O6" s="20"/>
    </row>
    <row r="7" ht="17.25" spans="1:15">
      <c r="A7" s="13" t="s">
        <v>28</v>
      </c>
      <c r="B7" s="14" t="s">
        <v>29</v>
      </c>
      <c r="C7" s="14">
        <v>3926400090</v>
      </c>
      <c r="D7" s="14" t="s">
        <v>30</v>
      </c>
      <c r="E7" s="15" t="s">
        <v>24</v>
      </c>
      <c r="F7" s="13">
        <v>105</v>
      </c>
      <c r="G7" s="16">
        <v>420</v>
      </c>
      <c r="H7" s="17" t="s">
        <v>25</v>
      </c>
      <c r="I7" s="18" t="s">
        <v>26</v>
      </c>
      <c r="J7" s="19">
        <v>1</v>
      </c>
      <c r="K7" s="15">
        <v>420</v>
      </c>
      <c r="L7" s="17">
        <f t="shared" ref="L7:L18" si="0">M7-F7</f>
        <v>1395</v>
      </c>
      <c r="M7" s="17">
        <v>1500</v>
      </c>
      <c r="N7" s="17" t="s">
        <v>27</v>
      </c>
      <c r="O7" s="20"/>
    </row>
    <row r="8" ht="17.25" spans="1:15">
      <c r="A8" s="13" t="s">
        <v>31</v>
      </c>
      <c r="B8" s="14" t="s">
        <v>32</v>
      </c>
      <c r="C8" s="14">
        <v>8471602000</v>
      </c>
      <c r="D8" s="14" t="s">
        <v>30</v>
      </c>
      <c r="E8" s="15" t="s">
        <v>24</v>
      </c>
      <c r="F8" s="14">
        <v>100</v>
      </c>
      <c r="G8" s="16">
        <v>1000</v>
      </c>
      <c r="H8" s="17" t="s">
        <v>25</v>
      </c>
      <c r="I8" s="18" t="s">
        <v>26</v>
      </c>
      <c r="J8" s="19">
        <v>2</v>
      </c>
      <c r="K8" s="15">
        <v>2000</v>
      </c>
      <c r="L8" s="17">
        <f t="shared" si="0"/>
        <v>2000</v>
      </c>
      <c r="M8" s="17">
        <v>2100</v>
      </c>
      <c r="N8" s="17" t="s">
        <v>27</v>
      </c>
      <c r="O8" s="20"/>
    </row>
    <row r="9" ht="17.25" spans="1:15">
      <c r="A9" s="13" t="s">
        <v>33</v>
      </c>
      <c r="B9" s="14" t="s">
        <v>34</v>
      </c>
      <c r="C9" s="14">
        <v>8306290000</v>
      </c>
      <c r="D9" s="14" t="s">
        <v>35</v>
      </c>
      <c r="E9" s="15" t="s">
        <v>24</v>
      </c>
      <c r="F9" s="14">
        <v>130</v>
      </c>
      <c r="G9" s="16">
        <v>520</v>
      </c>
      <c r="H9" s="17" t="s">
        <v>25</v>
      </c>
      <c r="I9" s="18" t="s">
        <v>26</v>
      </c>
      <c r="J9" s="19">
        <v>1</v>
      </c>
      <c r="K9" s="15">
        <v>520</v>
      </c>
      <c r="L9" s="17">
        <f t="shared" si="0"/>
        <v>711.46</v>
      </c>
      <c r="M9" s="17">
        <v>841.46</v>
      </c>
      <c r="N9" s="17" t="s">
        <v>27</v>
      </c>
      <c r="O9" s="20"/>
    </row>
    <row r="10" ht="17.25" spans="1:15">
      <c r="A10" s="13" t="s">
        <v>36</v>
      </c>
      <c r="B10" s="14" t="s">
        <v>37</v>
      </c>
      <c r="C10" s="14">
        <v>9017800000</v>
      </c>
      <c r="D10" s="14" t="s">
        <v>35</v>
      </c>
      <c r="E10" s="15" t="s">
        <v>24</v>
      </c>
      <c r="F10" s="14">
        <v>80</v>
      </c>
      <c r="G10" s="16">
        <v>240</v>
      </c>
      <c r="H10" s="17" t="s">
        <v>25</v>
      </c>
      <c r="I10" s="18" t="s">
        <v>26</v>
      </c>
      <c r="J10" s="19">
        <v>0.7</v>
      </c>
      <c r="K10" s="15">
        <v>168</v>
      </c>
      <c r="L10" s="17">
        <f t="shared" si="0"/>
        <v>70</v>
      </c>
      <c r="M10" s="17">
        <v>150</v>
      </c>
      <c r="N10" s="17" t="s">
        <v>27</v>
      </c>
      <c r="O10" s="20"/>
    </row>
    <row r="11" ht="17.25" spans="1:15">
      <c r="A11" s="21" t="s">
        <v>38</v>
      </c>
      <c r="B11" s="14" t="s">
        <v>39</v>
      </c>
      <c r="C11" s="14">
        <v>8302426000</v>
      </c>
      <c r="D11" s="14" t="s">
        <v>35</v>
      </c>
      <c r="E11" s="15" t="s">
        <v>24</v>
      </c>
      <c r="F11" s="14">
        <v>105</v>
      </c>
      <c r="G11" s="16">
        <v>630</v>
      </c>
      <c r="H11" s="17" t="s">
        <v>25</v>
      </c>
      <c r="I11" s="18" t="s">
        <v>26</v>
      </c>
      <c r="J11" s="19">
        <v>0.5</v>
      </c>
      <c r="K11" s="15">
        <v>315</v>
      </c>
      <c r="L11" s="17">
        <f t="shared" si="0"/>
        <v>345</v>
      </c>
      <c r="M11" s="17">
        <v>450</v>
      </c>
      <c r="N11" s="17" t="s">
        <v>27</v>
      </c>
      <c r="O11" s="20"/>
    </row>
    <row r="12" ht="17.25" spans="1:15">
      <c r="A12" s="13" t="s">
        <v>40</v>
      </c>
      <c r="B12" s="14" t="s">
        <v>41</v>
      </c>
      <c r="C12" s="14">
        <v>8539520091</v>
      </c>
      <c r="D12" s="14" t="s">
        <v>42</v>
      </c>
      <c r="E12" s="15" t="s">
        <v>24</v>
      </c>
      <c r="F12" s="14">
        <v>150</v>
      </c>
      <c r="G12" s="16">
        <v>300</v>
      </c>
      <c r="H12" s="17" t="s">
        <v>25</v>
      </c>
      <c r="I12" s="18" t="s">
        <v>26</v>
      </c>
      <c r="J12" s="19">
        <v>2</v>
      </c>
      <c r="K12" s="15">
        <v>600</v>
      </c>
      <c r="L12" s="17">
        <f t="shared" si="0"/>
        <v>1510</v>
      </c>
      <c r="M12" s="17">
        <v>1660</v>
      </c>
      <c r="N12" s="17" t="s">
        <v>27</v>
      </c>
      <c r="O12" s="20"/>
    </row>
    <row r="13" ht="17.25" spans="1:15">
      <c r="A13" s="13" t="s">
        <v>43</v>
      </c>
      <c r="B13" s="14" t="s">
        <v>44</v>
      </c>
      <c r="C13" s="14">
        <v>3924104000</v>
      </c>
      <c r="D13" s="14" t="s">
        <v>30</v>
      </c>
      <c r="E13" s="15" t="s">
        <v>24</v>
      </c>
      <c r="F13" s="14">
        <v>132</v>
      </c>
      <c r="G13" s="16">
        <v>660</v>
      </c>
      <c r="H13" s="17" t="s">
        <v>25</v>
      </c>
      <c r="I13" s="18" t="s">
        <v>26</v>
      </c>
      <c r="J13" s="19">
        <v>0.6</v>
      </c>
      <c r="K13" s="15">
        <v>396</v>
      </c>
      <c r="L13" s="17">
        <f t="shared" si="0"/>
        <v>368</v>
      </c>
      <c r="M13" s="17">
        <v>500</v>
      </c>
      <c r="N13" s="17" t="s">
        <v>27</v>
      </c>
      <c r="O13" s="20"/>
    </row>
    <row r="14" ht="17.25" spans="1:15">
      <c r="A14" s="21" t="s">
        <v>45</v>
      </c>
      <c r="B14" s="14" t="s">
        <v>46</v>
      </c>
      <c r="C14" s="14">
        <v>3926400090</v>
      </c>
      <c r="D14" s="14" t="s">
        <v>30</v>
      </c>
      <c r="E14" s="15" t="s">
        <v>24</v>
      </c>
      <c r="F14" s="14">
        <v>106</v>
      </c>
      <c r="G14" s="16">
        <v>424</v>
      </c>
      <c r="H14" s="17" t="s">
        <v>25</v>
      </c>
      <c r="I14" s="18" t="s">
        <v>26</v>
      </c>
      <c r="J14" s="19">
        <v>1</v>
      </c>
      <c r="K14" s="15">
        <v>424</v>
      </c>
      <c r="L14" s="17">
        <f t="shared" si="0"/>
        <v>544</v>
      </c>
      <c r="M14" s="17">
        <v>650</v>
      </c>
      <c r="N14" s="17" t="s">
        <v>27</v>
      </c>
      <c r="O14" s="20"/>
    </row>
    <row r="15" ht="17.25" spans="1:15">
      <c r="A15" s="21" t="s">
        <v>47</v>
      </c>
      <c r="B15" s="14" t="s">
        <v>48</v>
      </c>
      <c r="C15" s="14">
        <v>8306290000</v>
      </c>
      <c r="D15" s="14" t="s">
        <v>35</v>
      </c>
      <c r="E15" s="15" t="s">
        <v>24</v>
      </c>
      <c r="F15" s="14">
        <v>140</v>
      </c>
      <c r="G15" s="16">
        <v>280</v>
      </c>
      <c r="H15" s="17" t="s">
        <v>25</v>
      </c>
      <c r="I15" s="18" t="s">
        <v>26</v>
      </c>
      <c r="J15" s="19">
        <v>2</v>
      </c>
      <c r="K15" s="15">
        <v>560</v>
      </c>
      <c r="L15" s="17">
        <f t="shared" si="0"/>
        <v>1860</v>
      </c>
      <c r="M15" s="17">
        <v>2000</v>
      </c>
      <c r="N15" s="17" t="s">
        <v>27</v>
      </c>
      <c r="O15" s="20"/>
    </row>
    <row r="16" ht="17.25" spans="1:15">
      <c r="A16" s="21" t="s">
        <v>49</v>
      </c>
      <c r="B16" s="14" t="s">
        <v>50</v>
      </c>
      <c r="C16" s="14">
        <v>8539520091</v>
      </c>
      <c r="D16" s="14" t="s">
        <v>42</v>
      </c>
      <c r="E16" s="15" t="s">
        <v>24</v>
      </c>
      <c r="F16" s="14">
        <v>160</v>
      </c>
      <c r="G16" s="16">
        <v>320</v>
      </c>
      <c r="H16" s="17" t="s">
        <v>25</v>
      </c>
      <c r="I16" s="18" t="s">
        <v>26</v>
      </c>
      <c r="J16" s="22">
        <v>2</v>
      </c>
      <c r="K16" s="15">
        <v>640</v>
      </c>
      <c r="L16" s="17">
        <f t="shared" si="0"/>
        <v>1870</v>
      </c>
      <c r="M16" s="17">
        <v>2030</v>
      </c>
      <c r="N16" s="17" t="s">
        <v>27</v>
      </c>
      <c r="O16" s="20"/>
    </row>
    <row r="17" ht="17.25" spans="1:15">
      <c r="A17" s="21" t="s">
        <v>51</v>
      </c>
      <c r="B17" s="14" t="s">
        <v>52</v>
      </c>
      <c r="C17" s="14">
        <v>6702104000</v>
      </c>
      <c r="D17" s="14" t="s">
        <v>30</v>
      </c>
      <c r="E17" s="15" t="s">
        <v>24</v>
      </c>
      <c r="F17" s="14">
        <v>135</v>
      </c>
      <c r="G17" s="17">
        <v>2025</v>
      </c>
      <c r="H17" s="17" t="s">
        <v>25</v>
      </c>
      <c r="I17" s="18" t="s">
        <v>26</v>
      </c>
      <c r="J17" s="23">
        <v>0.15</v>
      </c>
      <c r="K17" s="15">
        <v>303.75</v>
      </c>
      <c r="L17" s="17">
        <f t="shared" si="0"/>
        <v>525</v>
      </c>
      <c r="M17" s="17">
        <v>660</v>
      </c>
      <c r="N17" s="17" t="s">
        <v>27</v>
      </c>
      <c r="O17" s="20"/>
    </row>
    <row r="18" customFormat="1" ht="17.25" spans="1:15">
      <c r="A18" s="13" t="s">
        <v>53</v>
      </c>
      <c r="B18" s="14" t="s">
        <v>54</v>
      </c>
      <c r="C18" s="14">
        <v>4909004000</v>
      </c>
      <c r="D18" s="14" t="s">
        <v>55</v>
      </c>
      <c r="E18" s="15" t="s">
        <v>24</v>
      </c>
      <c r="F18" s="14">
        <v>100</v>
      </c>
      <c r="G18" s="18">
        <v>2000</v>
      </c>
      <c r="H18" s="17" t="s">
        <v>25</v>
      </c>
      <c r="I18" s="18" t="s">
        <v>26</v>
      </c>
      <c r="J18" s="18">
        <v>0.1</v>
      </c>
      <c r="K18" s="24">
        <v>200</v>
      </c>
      <c r="L18" s="17">
        <f t="shared" si="0"/>
        <v>417.18</v>
      </c>
      <c r="M18" s="18">
        <v>517.18</v>
      </c>
      <c r="N18" s="17" t="s">
        <v>27</v>
      </c>
    </row>
    <row r="19" customFormat="1" ht="16.5" spans="1:15">
      <c r="A19" s="24"/>
      <c r="B19" s="24"/>
      <c r="C19" s="24"/>
      <c r="D19" s="24"/>
      <c r="E19" s="24"/>
      <c r="F19" s="18"/>
      <c r="G19" s="18"/>
      <c r="H19" s="18"/>
      <c r="I19" s="18"/>
      <c r="J19" s="18"/>
      <c r="K19" s="24"/>
      <c r="L19" s="18"/>
      <c r="M19" s="18"/>
      <c r="N19" s="18"/>
    </row>
    <row r="20" customFormat="1" ht="16.5" spans="1: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</sheetData>
  <protectedRanges>
    <protectedRange sqref="B11" name="区域4_1_34_1"/>
    <protectedRange sqref="D11" name="区域4_1_42_2"/>
    <protectedRange sqref="C7 C10:C11 C13:C14" name="区域4_1_1_26_2_1"/>
    <protectedRange sqref="B14" name="区域4_1_1_26_2_1_1"/>
    <protectedRange sqref="A11" name="区域4_1_1_22"/>
    <protectedRange sqref="B14" name="区域4_1_1_26_2_1_1_1"/>
    <protectedRange sqref="D13" name="区域4_1_35"/>
    <protectedRange sqref="D13" name="区域4_34_1_1"/>
    <protectedRange sqref="D8" name="区域4_1_1_23_2_1"/>
    <protectedRange sqref="D14" name="区域4_34_1_1_1"/>
    <protectedRange sqref="D13" name="区域4_1_1_26"/>
    <protectedRange sqref="D13" name="区域4_34_3"/>
    <protectedRange sqref="D13" name="区域4_1_1_26_1"/>
    <protectedRange sqref="D9" name="区域4_1_1_26_2_3"/>
    <protectedRange sqref="D8" name="区域4_1_42_2_1_1"/>
    <protectedRange sqref="D8" name="区域4_1_1_26_2_2_1_1"/>
    <protectedRange sqref="D14" name="区域4_1_1_26_2_1_1_1_1"/>
  </protectedRanges>
  <mergeCells count="7">
    <mergeCell ref="A1:N1"/>
    <mergeCell ref="A2:B2"/>
    <mergeCell ref="C2:N2"/>
    <mergeCell ref="A3:B3"/>
    <mergeCell ref="C3:N3"/>
    <mergeCell ref="A4:B4"/>
    <mergeCell ref="C4:N4"/>
  </mergeCells>
  <dataValidations count="1">
    <dataValidation type="list" allowBlank="1" showInputMessage="1" showErrorMessage="1" sqref="I20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4_1_34_1" rangeCreator="" othersAccessPermission="edit"/>
    <arrUserId title="区域4_1_42_2" rangeCreator="" othersAccessPermission="edit"/>
    <arrUserId title="区域4_1_1_26_2_1" rangeCreator="" othersAccessPermission="edit"/>
    <arrUserId title="区域4_1_1_26_2_1_1" rangeCreator="" othersAccessPermission="edit"/>
    <arrUserId title="区域4_1_1_22" rangeCreator="" othersAccessPermission="edit"/>
    <arrUserId title="区域4_1_1_26_2_1_1_1" rangeCreator="" othersAccessPermission="edit"/>
    <arrUserId title="区域4_1_35" rangeCreator="" othersAccessPermission="edit"/>
    <arrUserId title="区域4_34_1_1" rangeCreator="" othersAccessPermission="edit"/>
    <arrUserId title="区域4_1_1_23_2_1" rangeCreator="" othersAccessPermission="edit"/>
    <arrUserId title="区域4_34_1_1_1" rangeCreator="" othersAccessPermission="edit"/>
    <arrUserId title="区域4_1_1_26" rangeCreator="" othersAccessPermission="edit"/>
    <arrUserId title="区域4_34_3" rangeCreator="" othersAccessPermission="edit"/>
    <arrUserId title="区域4_1_1_26_1" rangeCreator="" othersAccessPermission="edit"/>
    <arrUserId title="区域4_1_1_26_2_3" rangeCreator="" othersAccessPermission="edit"/>
    <arrUserId title="区域4_1_42_2_1_1" rangeCreator="" othersAccessPermission="edit"/>
    <arrUserId title="区域4_1_1_26_2_2_1_1" rangeCreator="" othersAccessPermission="edit"/>
    <arrUserId title="区域4_1_1_26_2_1_1_1_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也许差不多</cp:lastModifiedBy>
  <dcterms:created xsi:type="dcterms:W3CDTF">2023-05-12T11:15:00Z</dcterms:created>
  <dcterms:modified xsi:type="dcterms:W3CDTF">2026-04-07T07:43:58Z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C8AB8F7B8AE24D798BE1BD56F728E547_12</vt:lpwstr>
  </property>
  <property fmtid="{D5CDD505-2E9C-101B-9397-08002B2CF9AE}" pid="4" name="CalculationRule">
    <vt:i4>0</vt:i4>
  </property>
</Properties>
</file>